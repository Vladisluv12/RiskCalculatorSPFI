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одика" sheetId="1" state="visible" r:id="rId1"/>
    <sheet name="Данные" sheetId="2" state="visible" r:id="rId2"/>
    <sheet name="Расчёт Excel" sheetId="3" state="visible" r:id="rId3"/>
    <sheet name="Сводка-свер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СВЕРКА РАСЧЁТНОГО ЯДРА VaR/ES С НЕЗАВИСИМЫМ РАСЧЁТОМ В EXCEL</t>
        </is>
      </c>
    </row>
    <row r="2">
      <c r="A2" t="inlineStr"/>
    </row>
    <row r="3">
      <c r="A3" t="inlineStr">
        <is>
          <t>Инструмент: спот EUR/RUB (источник: src/data/currency/EURRUB.csv)</t>
        </is>
      </c>
    </row>
    <row r="4">
      <c r="A4" t="inlineStr">
        <is>
          <t>Окно истории: последние 250 торговых дней</t>
        </is>
      </c>
    </row>
    <row r="5">
      <c r="A5" t="inlineStr">
        <is>
          <t>Горизонт: 1 день (h=1)</t>
        </is>
      </c>
    </row>
    <row r="6">
      <c r="A6" t="inlineStr">
        <is>
          <t>Серия P&amp;L: pct_change (относительные доходности) — идентично логике</t>
        </is>
      </c>
    </row>
    <row r="7">
      <c r="A7" t="inlineStr">
        <is>
          <t>src/compute/risk/var.py::_get_pnl_series, используемой как для VaR одного</t>
        </is>
      </c>
    </row>
    <row r="8">
      <c r="A8" t="inlineStr">
        <is>
          <t>инструмента, так и для построения матрицы pnl_matrix в портфельном расчёте.</t>
        </is>
      </c>
    </row>
    <row r="9">
      <c r="A9" t="inlineStr"/>
    </row>
    <row r="10">
      <c r="A10" t="inlineStr">
        <is>
          <t>СОДЕРЖАНИЕ:</t>
        </is>
      </c>
    </row>
    <row r="11">
      <c r="A11" t="inlineStr">
        <is>
          <t xml:space="preserve">  1. «Данные»         — исходный временной ряд (дата, курс, доходность)</t>
        </is>
      </c>
    </row>
    <row r="12">
      <c r="A12" t="inlineStr">
        <is>
          <t xml:space="preserve">  2. «Расчёт Excel»   — независимый расчёт по формулам PERCENTILE.INC/</t>
        </is>
      </c>
    </row>
    <row r="13">
      <c r="A13" t="inlineStr">
        <is>
          <t xml:space="preserve">                         AVERAGEIF/NORM.S.INV без обращения к Python-коду</t>
        </is>
      </c>
    </row>
    <row r="14">
      <c r="A14" t="inlineStr">
        <is>
          <t xml:space="preserve">  3. «Сводка-сверка»  — таблица сравнения: значение программы (Python,</t>
        </is>
      </c>
    </row>
    <row r="15">
      <c r="A15" t="inlineStr">
        <is>
          <t xml:space="preserve">                         вычислено через те же формулы, что в src/compute/</t>
        </is>
      </c>
    </row>
    <row r="16">
      <c r="A16" t="inlineStr">
        <is>
          <t xml:space="preserve">                         risk/var.py) vs значение Excel; расхождение, %;</t>
        </is>
      </c>
    </row>
    <row r="17">
      <c r="A17" t="inlineStr">
        <is>
          <t xml:space="preserve">                         вердикт при допуске 0,5%</t>
        </is>
      </c>
    </row>
    <row r="18">
      <c r="A18" t="inlineStr"/>
    </row>
    <row r="19">
      <c r="A19" t="inlineStr">
        <is>
          <t>СООТВЕТСТВИЕ ТРЕБОВАНИЯМ ТЗ:</t>
        </is>
      </c>
    </row>
    <row r="20">
      <c r="A20" t="inlineStr">
        <is>
          <t xml:space="preserve">  Сверка покрывает требования п. 4.1.1 функции 2.1 (VaR), 2.2 (ES)</t>
        </is>
      </c>
    </row>
    <row r="21">
      <c r="A21" t="inlineStr">
        <is>
          <t xml:space="preserve">  технического задания. Допуск 0,5% по абсолютной величине обусловлен</t>
        </is>
      </c>
    </row>
    <row r="22">
      <c r="A22" t="inlineStr">
        <is>
          <t xml:space="preserve">  различиями интерполяции квантилей между pandas.Series.quantile (тип 7,</t>
        </is>
      </c>
    </row>
    <row r="23">
      <c r="A23" t="inlineStr">
        <is>
          <t xml:space="preserve">  «linear») и Excel PERCENTILE.INC.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2" t="inlineStr">
        <is>
          <t>Дата</t>
        </is>
      </c>
      <c r="B1" s="2" t="inlineStr">
        <is>
          <t>Курс EUR/RUB</t>
        </is>
      </c>
      <c r="C1" s="2" t="inlineStr">
        <is>
          <t>P&amp;L (pct_change)</t>
        </is>
      </c>
    </row>
    <row r="2">
      <c r="A2" t="inlineStr">
        <is>
          <t>2025-01-15</t>
        </is>
      </c>
      <c r="B2" t="n">
        <v>106.2493</v>
      </c>
      <c r="C2" t="n">
        <v>0.01329161246514254</v>
      </c>
    </row>
    <row r="3">
      <c r="A3" t="inlineStr">
        <is>
          <t>2025-01-16</t>
        </is>
      </c>
      <c r="B3" t="n">
        <v>106.0971</v>
      </c>
      <c r="C3" t="n">
        <v>-0.001432480025750804</v>
      </c>
    </row>
    <row r="4">
      <c r="A4" t="inlineStr">
        <is>
          <t>2025-01-17</t>
        </is>
      </c>
      <c r="B4" t="n">
        <v>105.8072</v>
      </c>
      <c r="C4" t="n">
        <v>-0.002732402676416279</v>
      </c>
    </row>
    <row r="5">
      <c r="A5" t="inlineStr">
        <is>
          <t>2025-01-18</t>
        </is>
      </c>
      <c r="B5" t="n">
        <v>104.8609</v>
      </c>
      <c r="C5" t="n">
        <v>-0.008943625764598173</v>
      </c>
    </row>
    <row r="6">
      <c r="A6" t="inlineStr">
        <is>
          <t>2025-01-21</t>
        </is>
      </c>
      <c r="B6" t="n">
        <v>105.0457</v>
      </c>
      <c r="C6" t="n">
        <v>0.00176233467383935</v>
      </c>
    </row>
    <row r="7">
      <c r="A7" t="inlineStr">
        <is>
          <t>2025-01-22</t>
        </is>
      </c>
      <c r="B7" t="n">
        <v>103.2856</v>
      </c>
      <c r="C7" t="n">
        <v>-0.01675556448288695</v>
      </c>
    </row>
    <row r="8">
      <c r="A8" t="inlineStr">
        <is>
          <t>2025-01-23</t>
        </is>
      </c>
      <c r="B8" t="n">
        <v>103.2419</v>
      </c>
      <c r="C8" t="n">
        <v>-0.0004230986700953787</v>
      </c>
    </row>
    <row r="9">
      <c r="A9" t="inlineStr">
        <is>
          <t>2025-01-24</t>
        </is>
      </c>
      <c r="B9" t="n">
        <v>103.6612</v>
      </c>
      <c r="C9" t="n">
        <v>0.004061335562402402</v>
      </c>
    </row>
    <row r="10">
      <c r="A10" t="inlineStr">
        <is>
          <t>2025-01-25</t>
        </is>
      </c>
      <c r="B10" t="n">
        <v>103.187</v>
      </c>
      <c r="C10" t="n">
        <v>-0.004574517755920215</v>
      </c>
    </row>
    <row r="11">
      <c r="A11" t="inlineStr">
        <is>
          <t>2025-01-28</t>
        </is>
      </c>
      <c r="B11" t="n">
        <v>102.746</v>
      </c>
      <c r="C11" t="n">
        <v>-0.004273794179499357</v>
      </c>
    </row>
    <row r="12">
      <c r="A12" t="inlineStr">
        <is>
          <t>2025-01-29</t>
        </is>
      </c>
      <c r="B12" t="n">
        <v>101.5957</v>
      </c>
      <c r="C12" t="n">
        <v>-0.01119556965721291</v>
      </c>
    </row>
    <row r="13">
      <c r="A13" t="inlineStr">
        <is>
          <t>2025-01-30</t>
        </is>
      </c>
      <c r="B13" t="n">
        <v>102.4041</v>
      </c>
      <c r="C13" t="n">
        <v>0.007957029677437166</v>
      </c>
    </row>
    <row r="14">
      <c r="A14" t="inlineStr">
        <is>
          <t>2025-01-31</t>
        </is>
      </c>
      <c r="B14" t="n">
        <v>102.7782</v>
      </c>
      <c r="C14" t="n">
        <v>0.003653174042836271</v>
      </c>
    </row>
    <row r="15">
      <c r="A15" t="inlineStr">
        <is>
          <t>2025-02-01</t>
        </is>
      </c>
      <c r="B15" t="n">
        <v>102.1301</v>
      </c>
      <c r="C15" t="n">
        <v>-0.006305811932880712</v>
      </c>
    </row>
    <row r="16">
      <c r="A16" t="inlineStr">
        <is>
          <t>2025-02-04</t>
        </is>
      </c>
      <c r="B16" t="n">
        <v>102.491</v>
      </c>
      <c r="C16" t="n">
        <v>0.003533728058623176</v>
      </c>
    </row>
    <row r="17">
      <c r="A17" t="inlineStr">
        <is>
          <t>2025-02-05</t>
        </is>
      </c>
      <c r="B17" t="n">
        <v>102.6852</v>
      </c>
      <c r="C17" t="n">
        <v>0.001894800519069983</v>
      </c>
    </row>
    <row r="18">
      <c r="A18" t="inlineStr">
        <is>
          <t>2025-02-06</t>
        </is>
      </c>
      <c r="B18" t="n">
        <v>102.9215</v>
      </c>
      <c r="C18" t="n">
        <v>0.002301207963757212</v>
      </c>
    </row>
    <row r="19">
      <c r="A19" t="inlineStr">
        <is>
          <t>2025-02-07</t>
        </is>
      </c>
      <c r="B19" t="n">
        <v>100.6751</v>
      </c>
      <c r="C19" t="n">
        <v>-0.02182634337820566</v>
      </c>
    </row>
    <row r="20">
      <c r="A20" t="inlineStr">
        <is>
          <t>2025-02-08</t>
        </is>
      </c>
      <c r="B20" t="n">
        <v>101.2243</v>
      </c>
      <c r="C20" t="n">
        <v>0.005455172132930564</v>
      </c>
    </row>
    <row r="21">
      <c r="A21" t="inlineStr">
        <is>
          <t>2025-02-11</t>
        </is>
      </c>
      <c r="B21" t="n">
        <v>100.4991</v>
      </c>
      <c r="C21" t="n">
        <v>-0.007164287626587718</v>
      </c>
    </row>
    <row r="22">
      <c r="A22" t="inlineStr">
        <is>
          <t>2025-02-12</t>
        </is>
      </c>
      <c r="B22" t="n">
        <v>99.1953</v>
      </c>
      <c r="C22" t="n">
        <v>-0.01297325050672093</v>
      </c>
    </row>
    <row r="23">
      <c r="A23" t="inlineStr">
        <is>
          <t>2025-02-13</t>
        </is>
      </c>
      <c r="B23" t="n">
        <v>98.0119</v>
      </c>
      <c r="C23" t="n">
        <v>-0.01193000071575978</v>
      </c>
    </row>
    <row r="24">
      <c r="A24" t="inlineStr">
        <is>
          <t>2025-02-14</t>
        </is>
      </c>
      <c r="B24" t="n">
        <v>94.9221</v>
      </c>
      <c r="C24" t="n">
        <v>-0.03152474342401279</v>
      </c>
    </row>
    <row r="25">
      <c r="A25" t="inlineStr">
        <is>
          <t>2025-02-15</t>
        </is>
      </c>
      <c r="B25" t="n">
        <v>94.88760000000001</v>
      </c>
      <c r="C25" t="n">
        <v>-0.0003634559285982109</v>
      </c>
    </row>
    <row r="26">
      <c r="A26" t="inlineStr">
        <is>
          <t>2025-02-18</t>
        </is>
      </c>
      <c r="B26" t="n">
        <v>95.8048</v>
      </c>
      <c r="C26" t="n">
        <v>0.009666173451536197</v>
      </c>
    </row>
    <row r="27">
      <c r="A27" t="inlineStr">
        <is>
          <t>2025-02-19</t>
        </is>
      </c>
      <c r="B27" t="n">
        <v>95.66930000000001</v>
      </c>
      <c r="C27" t="n">
        <v>-0.00141433414609704</v>
      </c>
    </row>
    <row r="28">
      <c r="A28" t="inlineStr">
        <is>
          <t>2025-02-20</t>
        </is>
      </c>
      <c r="B28" t="n">
        <v>94.0834</v>
      </c>
      <c r="C28" t="n">
        <v>-0.0165768956185528</v>
      </c>
    </row>
    <row r="29">
      <c r="A29" t="inlineStr">
        <is>
          <t>2025-02-21</t>
        </is>
      </c>
      <c r="B29" t="n">
        <v>92.48309999999999</v>
      </c>
      <c r="C29" t="n">
        <v>-0.01700937678697845</v>
      </c>
    </row>
    <row r="30">
      <c r="A30" t="inlineStr">
        <is>
          <t>2025-02-22</t>
        </is>
      </c>
      <c r="B30" t="n">
        <v>92.01519999999999</v>
      </c>
      <c r="C30" t="n">
        <v>-0.005059302726660331</v>
      </c>
    </row>
    <row r="31">
      <c r="A31" t="inlineStr">
        <is>
          <t>2025-02-25</t>
        </is>
      </c>
      <c r="B31" t="n">
        <v>92.5162</v>
      </c>
      <c r="C31" t="n">
        <v>0.00544475260609123</v>
      </c>
    </row>
    <row r="32">
      <c r="A32" t="inlineStr">
        <is>
          <t>2025-02-26</t>
        </is>
      </c>
      <c r="B32" t="n">
        <v>90.94029999999999</v>
      </c>
      <c r="C32" t="n">
        <v>-0.01703377354452518</v>
      </c>
    </row>
    <row r="33">
      <c r="A33" t="inlineStr">
        <is>
          <t>2025-02-27</t>
        </is>
      </c>
      <c r="B33" t="n">
        <v>90.18259999999999</v>
      </c>
      <c r="C33" t="n">
        <v>-0.008331839679438069</v>
      </c>
    </row>
    <row r="34">
      <c r="A34" t="inlineStr">
        <is>
          <t>2025-02-28</t>
        </is>
      </c>
      <c r="B34" t="n">
        <v>92.03619999999999</v>
      </c>
      <c r="C34" t="n">
        <v>0.02055385406941035</v>
      </c>
    </row>
    <row r="35">
      <c r="A35" t="inlineStr">
        <is>
          <t>2025-03-01</t>
        </is>
      </c>
      <c r="B35" t="n">
        <v>91.5655</v>
      </c>
      <c r="C35" t="n">
        <v>-0.005114291985110153</v>
      </c>
    </row>
    <row r="36">
      <c r="A36" t="inlineStr">
        <is>
          <t>2025-03-04</t>
        </is>
      </c>
      <c r="B36" t="n">
        <v>92.85299999999999</v>
      </c>
      <c r="C36" t="n">
        <v>0.01406097274628548</v>
      </c>
    </row>
    <row r="37">
      <c r="A37" t="inlineStr">
        <is>
          <t>2025-03-05</t>
        </is>
      </c>
      <c r="B37" t="n">
        <v>93.9034</v>
      </c>
      <c r="C37" t="n">
        <v>0.01131250471174883</v>
      </c>
    </row>
    <row r="38">
      <c r="A38" t="inlineStr">
        <is>
          <t>2025-03-06</t>
        </is>
      </c>
      <c r="B38" t="n">
        <v>95.70350000000001</v>
      </c>
      <c r="C38" t="n">
        <v>0.0191696999256683</v>
      </c>
    </row>
    <row r="39">
      <c r="A39" t="inlineStr">
        <is>
          <t>2025-03-07</t>
        </is>
      </c>
      <c r="B39" t="n">
        <v>96.5975</v>
      </c>
      <c r="C39" t="n">
        <v>0.009341351152256649</v>
      </c>
    </row>
    <row r="40">
      <c r="A40" t="inlineStr">
        <is>
          <t>2025-03-08</t>
        </is>
      </c>
      <c r="B40" t="n">
        <v>96.8609</v>
      </c>
      <c r="C40" t="n">
        <v>0.002726778643339589</v>
      </c>
    </row>
    <row r="41">
      <c r="A41" t="inlineStr">
        <is>
          <t>2025-03-11</t>
        </is>
      </c>
      <c r="B41" t="n">
        <v>95.4443</v>
      </c>
      <c r="C41" t="n">
        <v>-0.01462509640112786</v>
      </c>
    </row>
    <row r="42">
      <c r="A42" t="inlineStr">
        <is>
          <t>2025-03-12</t>
        </is>
      </c>
      <c r="B42" t="n">
        <v>93.6639</v>
      </c>
      <c r="C42" t="n">
        <v>-0.01865381169959857</v>
      </c>
    </row>
    <row r="43">
      <c r="A43" t="inlineStr">
        <is>
          <t>2025-03-13</t>
        </is>
      </c>
      <c r="B43" t="n">
        <v>93.971</v>
      </c>
      <c r="C43" t="n">
        <v>0.003278744532311917</v>
      </c>
    </row>
    <row r="44">
      <c r="A44" t="inlineStr">
        <is>
          <t>2025-03-14</t>
        </is>
      </c>
      <c r="B44" t="n">
        <v>94.2559</v>
      </c>
      <c r="C44" t="n">
        <v>0.003031786402187819</v>
      </c>
    </row>
    <row r="45">
      <c r="A45" t="inlineStr">
        <is>
          <t>2025-03-15</t>
        </is>
      </c>
      <c r="B45" t="n">
        <v>93.6087</v>
      </c>
      <c r="C45" t="n">
        <v>-0.006866413667473314</v>
      </c>
    </row>
    <row r="46">
      <c r="A46" t="inlineStr">
        <is>
          <t>2025-03-18</t>
        </is>
      </c>
      <c r="B46" t="n">
        <v>90.8443</v>
      </c>
      <c r="C46" t="n">
        <v>-0.02953144312441036</v>
      </c>
    </row>
    <row r="47">
      <c r="A47" t="inlineStr">
        <is>
          <t>2025-03-19</t>
        </is>
      </c>
      <c r="B47" t="n">
        <v>87.5697</v>
      </c>
      <c r="C47" t="n">
        <v>-0.03604629019101924</v>
      </c>
    </row>
    <row r="48">
      <c r="A48" t="inlineStr">
        <is>
          <t>2025-03-20</t>
        </is>
      </c>
      <c r="B48" t="n">
        <v>90.8257</v>
      </c>
      <c r="C48" t="n">
        <v>0.03718181060343939</v>
      </c>
    </row>
    <row r="49">
      <c r="A49" t="inlineStr">
        <is>
          <t>2025-03-21</t>
        </is>
      </c>
      <c r="B49" t="n">
        <v>92.4633</v>
      </c>
      <c r="C49" t="n">
        <v>0.01803013904654738</v>
      </c>
    </row>
    <row r="50">
      <c r="A50" t="inlineStr">
        <is>
          <t>2025-03-22</t>
        </is>
      </c>
      <c r="B50" t="n">
        <v>91.42619999999999</v>
      </c>
      <c r="C50" t="n">
        <v>-0.011216342051387</v>
      </c>
    </row>
    <row r="51">
      <c r="A51" t="inlineStr">
        <is>
          <t>2025-03-25</t>
        </is>
      </c>
      <c r="B51" t="n">
        <v>91.5252</v>
      </c>
      <c r="C51" t="n">
        <v>0.001082840586177802</v>
      </c>
    </row>
    <row r="52">
      <c r="A52" t="inlineStr">
        <is>
          <t>2025-03-26</t>
        </is>
      </c>
      <c r="B52" t="n">
        <v>92.3409</v>
      </c>
      <c r="C52" t="n">
        <v>0.008912299563399007</v>
      </c>
    </row>
    <row r="53">
      <c r="A53" t="inlineStr">
        <is>
          <t>2025-03-27</t>
        </is>
      </c>
      <c r="B53" t="n">
        <v>92.0029</v>
      </c>
      <c r="C53" t="n">
        <v>-0.0036603498558061</v>
      </c>
    </row>
    <row r="54">
      <c r="A54" t="inlineStr">
        <is>
          <t>2025-03-28</t>
        </is>
      </c>
      <c r="B54" t="n">
        <v>90.5441</v>
      </c>
      <c r="C54" t="n">
        <v>-0.01585602192974345</v>
      </c>
    </row>
    <row r="55">
      <c r="A55" t="inlineStr">
        <is>
          <t>2025-03-29</t>
        </is>
      </c>
      <c r="B55" t="n">
        <v>89.6553</v>
      </c>
      <c r="C55" t="n">
        <v>-0.009816211105969419</v>
      </c>
    </row>
    <row r="56">
      <c r="A56" t="inlineStr">
        <is>
          <t>2025-04-01</t>
        </is>
      </c>
      <c r="B56" t="n">
        <v>92.4276</v>
      </c>
      <c r="C56" t="n">
        <v>0.03092176368825927</v>
      </c>
    </row>
    <row r="57">
      <c r="A57" t="inlineStr">
        <is>
          <t>2025-04-02</t>
        </is>
      </c>
      <c r="B57" t="n">
        <v>91.96429999999999</v>
      </c>
      <c r="C57" t="n">
        <v>-0.005012572002302429</v>
      </c>
    </row>
    <row r="58">
      <c r="A58" t="inlineStr">
        <is>
          <t>2025-04-03</t>
        </is>
      </c>
      <c r="B58" t="n">
        <v>91.20440000000001</v>
      </c>
      <c r="C58" t="n">
        <v>-0.008262989007690846</v>
      </c>
    </row>
    <row r="59">
      <c r="A59" t="inlineStr">
        <is>
          <t>2025-04-04</t>
        </is>
      </c>
      <c r="B59" t="n">
        <v>93.16079999999999</v>
      </c>
      <c r="C59" t="n">
        <v>0.02145071948283173</v>
      </c>
    </row>
    <row r="60">
      <c r="A60" t="inlineStr">
        <is>
          <t>2025-04-05</t>
        </is>
      </c>
      <c r="B60" t="n">
        <v>92.9855</v>
      </c>
      <c r="C60" t="n">
        <v>-0.001881692729130635</v>
      </c>
    </row>
    <row r="61">
      <c r="A61" t="inlineStr">
        <is>
          <t>2025-04-08</t>
        </is>
      </c>
      <c r="B61" t="n">
        <v>94.77419999999999</v>
      </c>
      <c r="C61" t="n">
        <v>0.01923633254647217</v>
      </c>
    </row>
    <row r="62">
      <c r="A62" t="inlineStr">
        <is>
          <t>2025-04-09</t>
        </is>
      </c>
      <c r="B62" t="n">
        <v>93.77549999999999</v>
      </c>
      <c r="C62" t="n">
        <v>-0.01053767797565164</v>
      </c>
    </row>
    <row r="63">
      <c r="A63" t="inlineStr">
        <is>
          <t>2025-04-10</t>
        </is>
      </c>
      <c r="B63" t="n">
        <v>95.09099999999999</v>
      </c>
      <c r="C63" t="n">
        <v>0.01402818433386122</v>
      </c>
    </row>
    <row r="64">
      <c r="A64" t="inlineStr">
        <is>
          <t>2025-04-11</t>
        </is>
      </c>
      <c r="B64" t="n">
        <v>94.6036</v>
      </c>
      <c r="C64" t="n">
        <v>-0.005125616514706888</v>
      </c>
    </row>
    <row r="65">
      <c r="A65" t="inlineStr">
        <is>
          <t>2025-04-12</t>
        </is>
      </c>
      <c r="B65" t="n">
        <v>96.2163</v>
      </c>
      <c r="C65" t="n">
        <v>0.01704691999035979</v>
      </c>
    </row>
    <row r="66">
      <c r="A66" t="inlineStr">
        <is>
          <t>2025-04-15</t>
        </is>
      </c>
      <c r="B66" t="n">
        <v>94.1635</v>
      </c>
      <c r="C66" t="n">
        <v>-0.02133526232041771</v>
      </c>
    </row>
    <row r="67">
      <c r="A67" t="inlineStr">
        <is>
          <t>2025-04-16</t>
        </is>
      </c>
      <c r="B67" t="n">
        <v>93.6844</v>
      </c>
      <c r="C67" t="n">
        <v>-0.005087958710115914</v>
      </c>
    </row>
    <row r="68">
      <c r="A68" t="inlineStr">
        <is>
          <t>2025-04-17</t>
        </is>
      </c>
      <c r="B68" t="n">
        <v>93.3356</v>
      </c>
      <c r="C68" t="n">
        <v>-0.003723138537472637</v>
      </c>
    </row>
    <row r="69">
      <c r="A69" t="inlineStr">
        <is>
          <t>2025-04-18</t>
        </is>
      </c>
      <c r="B69" t="n">
        <v>93.2513</v>
      </c>
      <c r="C69" t="n">
        <v>-0.0009031923510428586</v>
      </c>
    </row>
    <row r="70">
      <c r="A70" t="inlineStr">
        <is>
          <t>2025-04-19</t>
        </is>
      </c>
      <c r="B70" t="n">
        <v>92.22320000000001</v>
      </c>
      <c r="C70" t="n">
        <v>-0.01102504737199372</v>
      </c>
    </row>
    <row r="71">
      <c r="A71" t="inlineStr">
        <is>
          <t>2025-04-22</t>
        </is>
      </c>
      <c r="B71" t="n">
        <v>93.67140000000001</v>
      </c>
      <c r="C71" t="n">
        <v>0.01570320700214256</v>
      </c>
    </row>
    <row r="72">
      <c r="A72" t="inlineStr">
        <is>
          <t>2025-04-23</t>
        </is>
      </c>
      <c r="B72" t="n">
        <v>94.04000000000001</v>
      </c>
      <c r="C72" t="n">
        <v>0.003935032464551513</v>
      </c>
    </row>
    <row r="73">
      <c r="A73" t="inlineStr">
        <is>
          <t>2025-04-24</t>
        </is>
      </c>
      <c r="B73" t="n">
        <v>94.5723</v>
      </c>
      <c r="C73" t="n">
        <v>0.005660357294767993</v>
      </c>
    </row>
    <row r="74">
      <c r="A74" t="inlineStr">
        <is>
          <t>2025-04-25</t>
        </is>
      </c>
      <c r="B74" t="n">
        <v>94.7129</v>
      </c>
      <c r="C74" t="n">
        <v>0.001486693249503457</v>
      </c>
    </row>
    <row r="75">
      <c r="A75" t="inlineStr">
        <is>
          <t>2025-04-26</t>
        </is>
      </c>
      <c r="B75" t="n">
        <v>94.3593</v>
      </c>
      <c r="C75" t="n">
        <v>-0.003733387954544698</v>
      </c>
    </row>
    <row r="76">
      <c r="A76" t="inlineStr">
        <is>
          <t>2025-04-29</t>
        </is>
      </c>
      <c r="B76" t="n">
        <v>93.1801</v>
      </c>
      <c r="C76" t="n">
        <v>-0.01249691339380443</v>
      </c>
    </row>
    <row r="77">
      <c r="A77" t="inlineStr">
        <is>
          <t>2025-04-30</t>
        </is>
      </c>
      <c r="B77" t="n">
        <v>93.173</v>
      </c>
      <c r="C77" t="n">
        <v>-7.619652694079715e-05</v>
      </c>
    </row>
    <row r="78">
      <c r="A78" t="inlineStr">
        <is>
          <t>2025-05-01</t>
        </is>
      </c>
      <c r="B78" t="n">
        <v>92.837</v>
      </c>
      <c r="C78" t="n">
        <v>-0.003606194927715078</v>
      </c>
    </row>
    <row r="79">
      <c r="A79" t="inlineStr">
        <is>
          <t>2025-05-06</t>
        </is>
      </c>
      <c r="B79" t="n">
        <v>92.90819999999999</v>
      </c>
      <c r="C79" t="n">
        <v>0.0007669355967985236</v>
      </c>
    </row>
    <row r="80">
      <c r="A80" t="inlineStr">
        <is>
          <t>2025-05-07</t>
        </is>
      </c>
      <c r="B80" t="n">
        <v>91.9169</v>
      </c>
      <c r="C80" t="n">
        <v>-0.01066967178354539</v>
      </c>
    </row>
    <row r="81">
      <c r="A81" t="inlineStr">
        <is>
          <t>2025-05-08</t>
        </is>
      </c>
      <c r="B81" t="n">
        <v>92.1439</v>
      </c>
      <c r="C81" t="n">
        <v>0.002469622017278628</v>
      </c>
    </row>
    <row r="82">
      <c r="A82" t="inlineStr">
        <is>
          <t>2025-05-13</t>
        </is>
      </c>
      <c r="B82" t="n">
        <v>90.1117</v>
      </c>
      <c r="C82" t="n">
        <v>-0.0220546341103427</v>
      </c>
    </row>
    <row r="83">
      <c r="A83" t="inlineStr">
        <is>
          <t>2025-05-14</t>
        </is>
      </c>
      <c r="B83" t="n">
        <v>89.6956</v>
      </c>
      <c r="C83" t="n">
        <v>-0.004617602375718177</v>
      </c>
    </row>
    <row r="84">
      <c r="A84" t="inlineStr">
        <is>
          <t>2025-05-15</t>
        </is>
      </c>
      <c r="B84" t="n">
        <v>90.38209999999999</v>
      </c>
      <c r="C84" t="n">
        <v>0.007653664170817587</v>
      </c>
    </row>
    <row r="85">
      <c r="A85" t="inlineStr">
        <is>
          <t>2025-05-16</t>
        </is>
      </c>
      <c r="B85" t="n">
        <v>90.1011</v>
      </c>
      <c r="C85" t="n">
        <v>-0.003109022693652763</v>
      </c>
    </row>
    <row r="86">
      <c r="A86" t="inlineStr">
        <is>
          <t>2025-05-17</t>
        </is>
      </c>
      <c r="B86" t="n">
        <v>90.7062</v>
      </c>
      <c r="C86" t="n">
        <v>0.006715789263394001</v>
      </c>
    </row>
    <row r="87">
      <c r="A87" t="inlineStr">
        <is>
          <t>2025-05-20</t>
        </is>
      </c>
      <c r="B87" t="n">
        <v>90.5098</v>
      </c>
      <c r="C87" t="n">
        <v>-0.002165232365593517</v>
      </c>
    </row>
    <row r="88">
      <c r="A88" t="inlineStr">
        <is>
          <t>2025-05-21</t>
        </is>
      </c>
      <c r="B88" t="n">
        <v>89.9679</v>
      </c>
      <c r="C88" t="n">
        <v>-0.005987196966516284</v>
      </c>
    </row>
    <row r="89">
      <c r="A89" t="inlineStr">
        <is>
          <t>2025-05-22</t>
        </is>
      </c>
      <c r="B89" t="n">
        <v>91.29900000000001</v>
      </c>
      <c r="C89" t="n">
        <v>0.0147952769821238</v>
      </c>
    </row>
    <row r="90">
      <c r="A90" t="inlineStr">
        <is>
          <t>2025-05-23</t>
        </is>
      </c>
      <c r="B90" t="n">
        <v>90.2004</v>
      </c>
      <c r="C90" t="n">
        <v>-0.01203299050372952</v>
      </c>
    </row>
    <row r="91">
      <c r="A91" t="inlineStr">
        <is>
          <t>2025-05-24</t>
        </is>
      </c>
      <c r="B91" t="n">
        <v>90.52070000000001</v>
      </c>
      <c r="C91" t="n">
        <v>0.003550982035556371</v>
      </c>
    </row>
    <row r="92">
      <c r="A92" t="inlineStr">
        <is>
          <t>2025-05-27</t>
        </is>
      </c>
      <c r="B92" t="n">
        <v>90.4644</v>
      </c>
      <c r="C92" t="n">
        <v>-0.0006219571876930896</v>
      </c>
    </row>
    <row r="93">
      <c r="A93" t="inlineStr">
        <is>
          <t>2025-05-28</t>
        </is>
      </c>
      <c r="B93" t="n">
        <v>90.9007</v>
      </c>
      <c r="C93" t="n">
        <v>0.004822891656828476</v>
      </c>
    </row>
    <row r="94">
      <c r="A94" t="inlineStr">
        <is>
          <t>2025-05-29</t>
        </is>
      </c>
      <c r="B94" t="n">
        <v>90.3365</v>
      </c>
      <c r="C94" t="n">
        <v>-0.006206772885137268</v>
      </c>
    </row>
    <row r="95">
      <c r="A95" t="inlineStr">
        <is>
          <t>2025-05-30</t>
        </is>
      </c>
      <c r="B95" t="n">
        <v>88.9481</v>
      </c>
      <c r="C95" t="n">
        <v>-0.01536920292462074</v>
      </c>
    </row>
    <row r="96">
      <c r="A96" t="inlineStr">
        <is>
          <t>2025-05-31</t>
        </is>
      </c>
      <c r="B96" t="n">
        <v>89.2512</v>
      </c>
      <c r="C96" t="n">
        <v>0.003407605109046807</v>
      </c>
    </row>
    <row r="97">
      <c r="A97" t="inlineStr">
        <is>
          <t>2025-06-03</t>
        </is>
      </c>
      <c r="B97" t="n">
        <v>90.377</v>
      </c>
      <c r="C97" t="n">
        <v>0.01261383600444588</v>
      </c>
    </row>
    <row r="98">
      <c r="A98" t="inlineStr">
        <is>
          <t>2025-06-04</t>
        </is>
      </c>
      <c r="B98" t="n">
        <v>89.9267</v>
      </c>
      <c r="C98" t="n">
        <v>-0.004982462352147055</v>
      </c>
    </row>
    <row r="99">
      <c r="A99" t="inlineStr">
        <is>
          <t>2025-06-05</t>
        </is>
      </c>
      <c r="B99" t="n">
        <v>89.3108</v>
      </c>
      <c r="C99" t="n">
        <v>-0.006848911391166279</v>
      </c>
    </row>
    <row r="100">
      <c r="A100" t="inlineStr">
        <is>
          <t>2025-06-06</t>
        </is>
      </c>
      <c r="B100" t="n">
        <v>90.6635</v>
      </c>
      <c r="C100" t="n">
        <v>0.01514598458417127</v>
      </c>
    </row>
    <row r="101">
      <c r="A101" t="inlineStr">
        <is>
          <t>2025-06-07</t>
        </is>
      </c>
      <c r="B101" t="n">
        <v>90.3954</v>
      </c>
      <c r="C101" t="n">
        <v>-0.002957088574784827</v>
      </c>
    </row>
    <row r="102">
      <c r="A102" t="inlineStr">
        <is>
          <t>2025-06-10</t>
        </is>
      </c>
      <c r="B102" t="n">
        <v>90.36660000000001</v>
      </c>
      <c r="C102" t="n">
        <v>-0.0003186002827576528</v>
      </c>
    </row>
    <row r="103">
      <c r="A103" t="inlineStr">
        <is>
          <t>2025-06-11</t>
        </is>
      </c>
      <c r="B103" t="n">
        <v>89.79179999999999</v>
      </c>
      <c r="C103" t="n">
        <v>-0.00636075718241047</v>
      </c>
    </row>
    <row r="104">
      <c r="A104" t="inlineStr">
        <is>
          <t>2025-06-12</t>
        </is>
      </c>
      <c r="B104" t="n">
        <v>90.0068</v>
      </c>
      <c r="C104" t="n">
        <v>0.002394427998993365</v>
      </c>
    </row>
    <row r="105">
      <c r="A105" t="inlineStr">
        <is>
          <t>2025-06-17</t>
        </is>
      </c>
      <c r="B105" t="n">
        <v>90.9438</v>
      </c>
      <c r="C105" t="n">
        <v>0.01041032455325586</v>
      </c>
    </row>
    <row r="106">
      <c r="A106" t="inlineStr">
        <is>
          <t>2025-06-18</t>
        </is>
      </c>
      <c r="B106" t="n">
        <v>90.7548</v>
      </c>
      <c r="C106" t="n">
        <v>-0.002078206540742644</v>
      </c>
    </row>
    <row r="107">
      <c r="A107" t="inlineStr">
        <is>
          <t>2025-06-19</t>
        </is>
      </c>
      <c r="B107" t="n">
        <v>90.30929999999999</v>
      </c>
      <c r="C107" t="n">
        <v>-0.004908831268428893</v>
      </c>
    </row>
    <row r="108">
      <c r="A108" t="inlineStr">
        <is>
          <t>2025-06-20</t>
        </is>
      </c>
      <c r="B108" t="n">
        <v>89.83799999999999</v>
      </c>
      <c r="C108" t="n">
        <v>-0.005218731625646567</v>
      </c>
    </row>
    <row r="109">
      <c r="A109" t="inlineStr">
        <is>
          <t>2025-06-21</t>
        </is>
      </c>
      <c r="B109" t="n">
        <v>90.1356</v>
      </c>
      <c r="C109" t="n">
        <v>0.003312629399585987</v>
      </c>
    </row>
    <row r="110">
      <c r="A110" t="inlineStr">
        <is>
          <t>2025-06-24</t>
        </is>
      </c>
      <c r="B110" t="n">
        <v>89.83880000000001</v>
      </c>
      <c r="C110" t="n">
        <v>-0.003292816600765858</v>
      </c>
    </row>
    <row r="111">
      <c r="A111" t="inlineStr">
        <is>
          <t>2025-06-25</t>
        </is>
      </c>
      <c r="B111" t="n">
        <v>91.73699999999999</v>
      </c>
      <c r="C111" t="n">
        <v>0.02112895541792614</v>
      </c>
    </row>
    <row r="112">
      <c r="A112" t="inlineStr">
        <is>
          <t>2025-06-26</t>
        </is>
      </c>
      <c r="B112" t="n">
        <v>91.0599</v>
      </c>
      <c r="C112" t="n">
        <v>-0.007380882304849679</v>
      </c>
    </row>
    <row r="113">
      <c r="A113" t="inlineStr">
        <is>
          <t>2025-06-27</t>
        </is>
      </c>
      <c r="B113" t="n">
        <v>91.6601</v>
      </c>
      <c r="C113" t="n">
        <v>0.00659126574924862</v>
      </c>
    </row>
    <row r="114">
      <c r="A114" t="inlineStr">
        <is>
          <t>2025-06-28</t>
        </is>
      </c>
      <c r="B114" t="n">
        <v>92.27849999999999</v>
      </c>
      <c r="C114" t="n">
        <v>0.006746665124737872</v>
      </c>
    </row>
    <row r="115">
      <c r="A115" t="inlineStr">
        <is>
          <t>2025-07-01</t>
        </is>
      </c>
      <c r="B115" t="n">
        <v>92.2672</v>
      </c>
      <c r="C115" t="n">
        <v>-0.0001224553931846728</v>
      </c>
    </row>
    <row r="116">
      <c r="A116" t="inlineStr">
        <is>
          <t>2025-07-02</t>
        </is>
      </c>
      <c r="B116" t="n">
        <v>92.744</v>
      </c>
      <c r="C116" t="n">
        <v>0.005167600187282018</v>
      </c>
    </row>
    <row r="117">
      <c r="A117" t="inlineStr">
        <is>
          <t>2025-07-03</t>
        </is>
      </c>
      <c r="B117" t="n">
        <v>92.67740000000001</v>
      </c>
      <c r="C117" t="n">
        <v>-0.0007181057534718649</v>
      </c>
    </row>
    <row r="118">
      <c r="A118" t="inlineStr">
        <is>
          <t>2025-07-04</t>
        </is>
      </c>
      <c r="B118" t="n">
        <v>93.1277</v>
      </c>
      <c r="C118" t="n">
        <v>0.004858789737303804</v>
      </c>
    </row>
    <row r="119">
      <c r="A119" t="inlineStr">
        <is>
          <t>2025-07-05</t>
        </is>
      </c>
      <c r="B119" t="n">
        <v>93.0103</v>
      </c>
      <c r="C119" t="n">
        <v>-0.001260634590997123</v>
      </c>
    </row>
    <row r="120">
      <c r="A120" t="inlineStr">
        <is>
          <t>2025-07-08</t>
        </is>
      </c>
      <c r="B120" t="n">
        <v>92.41379999999999</v>
      </c>
      <c r="C120" t="n">
        <v>-0.006413268207929756</v>
      </c>
    </row>
    <row r="121">
      <c r="A121" t="inlineStr">
        <is>
          <t>2025-07-09</t>
        </is>
      </c>
      <c r="B121" t="n">
        <v>91.9667</v>
      </c>
      <c r="C121" t="n">
        <v>-0.004838022027013222</v>
      </c>
    </row>
    <row r="122">
      <c r="A122" t="inlineStr">
        <is>
          <t>2025-07-10</t>
        </is>
      </c>
      <c r="B122" t="n">
        <v>91.4175</v>
      </c>
      <c r="C122" t="n">
        <v>-0.005971726722824644</v>
      </c>
    </row>
    <row r="123">
      <c r="A123" t="inlineStr">
        <is>
          <t>2025-07-11</t>
        </is>
      </c>
      <c r="B123" t="n">
        <v>91.4992</v>
      </c>
      <c r="C123" t="n">
        <v>0.0008937019717230044</v>
      </c>
    </row>
    <row r="124">
      <c r="A124" t="inlineStr">
        <is>
          <t>2025-07-12</t>
        </is>
      </c>
      <c r="B124" t="n">
        <v>91.12009999999999</v>
      </c>
      <c r="C124" t="n">
        <v>-0.004143205623655777</v>
      </c>
    </row>
    <row r="125">
      <c r="A125" t="inlineStr">
        <is>
          <t>2025-07-15</t>
        </is>
      </c>
      <c r="B125" t="n">
        <v>91.77379999999999</v>
      </c>
      <c r="C125" t="n">
        <v>0.00717404831645263</v>
      </c>
    </row>
    <row r="126">
      <c r="A126" t="inlineStr">
        <is>
          <t>2025-07-16</t>
        </is>
      </c>
      <c r="B126" t="n">
        <v>91.15309999999999</v>
      </c>
      <c r="C126" t="n">
        <v>-0.00676336819440837</v>
      </c>
    </row>
    <row r="127">
      <c r="A127" t="inlineStr">
        <is>
          <t>2025-07-17</t>
        </is>
      </c>
      <c r="B127" t="n">
        <v>90.5635</v>
      </c>
      <c r="C127" t="n">
        <v>-0.006468238600771614</v>
      </c>
    </row>
    <row r="128">
      <c r="A128" t="inlineStr">
        <is>
          <t>2025-07-18</t>
        </is>
      </c>
      <c r="B128" t="n">
        <v>90.9716</v>
      </c>
      <c r="C128" t="n">
        <v>0.004506230434998537</v>
      </c>
    </row>
    <row r="129">
      <c r="A129" t="inlineStr">
        <is>
          <t>2025-07-19</t>
        </is>
      </c>
      <c r="B129" t="n">
        <v>91.0821</v>
      </c>
      <c r="C129" t="n">
        <v>0.001214664796485909</v>
      </c>
    </row>
    <row r="130">
      <c r="A130" t="inlineStr">
        <is>
          <t>2025-07-22</t>
        </is>
      </c>
      <c r="B130" t="n">
        <v>91.5138</v>
      </c>
      <c r="C130" t="n">
        <v>0.004739679915153561</v>
      </c>
    </row>
    <row r="131">
      <c r="A131" t="inlineStr">
        <is>
          <t>2025-07-23</t>
        </is>
      </c>
      <c r="B131" t="n">
        <v>91.7782</v>
      </c>
      <c r="C131" t="n">
        <v>0.002889181740895808</v>
      </c>
    </row>
    <row r="132">
      <c r="A132" t="inlineStr">
        <is>
          <t>2025-07-24</t>
        </is>
      </c>
      <c r="B132" t="n">
        <v>91.7897</v>
      </c>
      <c r="C132" t="n">
        <v>0.0001253020869880217</v>
      </c>
    </row>
    <row r="133">
      <c r="A133" t="inlineStr">
        <is>
          <t>2025-07-25</t>
        </is>
      </c>
      <c r="B133" t="n">
        <v>93.33620000000001</v>
      </c>
      <c r="C133" t="n">
        <v>0.01684829561486767</v>
      </c>
    </row>
    <row r="134">
      <c r="A134" t="inlineStr">
        <is>
          <t>2025-07-26</t>
        </is>
      </c>
      <c r="B134" t="n">
        <v>93.35080000000001</v>
      </c>
      <c r="C134" t="n">
        <v>0.000156423766984215</v>
      </c>
    </row>
    <row r="135">
      <c r="A135" t="inlineStr">
        <is>
          <t>2025-07-29</t>
        </is>
      </c>
      <c r="B135" t="n">
        <v>93.206</v>
      </c>
      <c r="C135" t="n">
        <v>-0.001551138286977727</v>
      </c>
    </row>
    <row r="136">
      <c r="A136" t="inlineStr">
        <is>
          <t>2025-07-30</t>
        </is>
      </c>
      <c r="B136" t="n">
        <v>94.99760000000001</v>
      </c>
      <c r="C136" t="n">
        <v>0.01922193850181331</v>
      </c>
    </row>
    <row r="137">
      <c r="A137" t="inlineStr">
        <is>
          <t>2025-07-31</t>
        </is>
      </c>
      <c r="B137" t="n">
        <v>94.95140000000001</v>
      </c>
      <c r="C137" t="n">
        <v>-0.0004863280756566279</v>
      </c>
    </row>
    <row r="138">
      <c r="A138" t="inlineStr">
        <is>
          <t>2025-08-01</t>
        </is>
      </c>
      <c r="B138" t="n">
        <v>91.8751</v>
      </c>
      <c r="C138" t="n">
        <v>-0.03239867974563837</v>
      </c>
    </row>
    <row r="139">
      <c r="A139" t="inlineStr">
        <is>
          <t>2025-08-02</t>
        </is>
      </c>
      <c r="B139" t="n">
        <v>91.7056</v>
      </c>
      <c r="C139" t="n">
        <v>-0.001844895951133685</v>
      </c>
    </row>
    <row r="140">
      <c r="A140" t="inlineStr">
        <is>
          <t>2025-08-05</t>
        </is>
      </c>
      <c r="B140" t="n">
        <v>92.3252</v>
      </c>
      <c r="C140" t="n">
        <v>0.006756403098611141</v>
      </c>
    </row>
    <row r="141">
      <c r="A141" t="inlineStr">
        <is>
          <t>2025-08-06</t>
        </is>
      </c>
      <c r="B141" t="n">
        <v>92.5094</v>
      </c>
      <c r="C141" t="n">
        <v>0.001995121591938043</v>
      </c>
    </row>
    <row r="142">
      <c r="A142" t="inlineStr">
        <is>
          <t>2025-08-07</t>
        </is>
      </c>
      <c r="B142" t="n">
        <v>93.0072</v>
      </c>
      <c r="C142" t="n">
        <v>0.00538107478807559</v>
      </c>
    </row>
    <row r="143">
      <c r="A143" t="inlineStr">
        <is>
          <t>2025-08-08</t>
        </is>
      </c>
      <c r="B143" t="n">
        <v>92.6636</v>
      </c>
      <c r="C143" t="n">
        <v>-0.003694337642677126</v>
      </c>
    </row>
    <row r="144">
      <c r="A144" t="inlineStr">
        <is>
          <t>2025-08-09</t>
        </is>
      </c>
      <c r="B144" t="n">
        <v>92.88</v>
      </c>
      <c r="C144" t="n">
        <v>0.00233532908283296</v>
      </c>
    </row>
    <row r="145">
      <c r="A145" t="inlineStr">
        <is>
          <t>2025-08-12</t>
        </is>
      </c>
      <c r="B145" t="n">
        <v>92.9485</v>
      </c>
      <c r="C145" t="n">
        <v>0.0007375107665805736</v>
      </c>
    </row>
    <row r="146">
      <c r="A146" t="inlineStr">
        <is>
          <t>2025-08-13</t>
        </is>
      </c>
      <c r="B146" t="n">
        <v>92.8583</v>
      </c>
      <c r="C146" t="n">
        <v>-0.000970429861697597</v>
      </c>
    </row>
    <row r="147">
      <c r="A147" t="inlineStr">
        <is>
          <t>2025-08-14</t>
        </is>
      </c>
      <c r="B147" t="n">
        <v>93.3875</v>
      </c>
      <c r="C147" t="n">
        <v>0.005699005904695742</v>
      </c>
    </row>
    <row r="148">
      <c r="A148" t="inlineStr">
        <is>
          <t>2025-08-15</t>
        </is>
      </c>
      <c r="B148" t="n">
        <v>93.05880000000001</v>
      </c>
      <c r="C148" t="n">
        <v>-0.003519743006290987</v>
      </c>
    </row>
    <row r="149">
      <c r="A149" t="inlineStr">
        <is>
          <t>2025-08-16</t>
        </is>
      </c>
      <c r="B149" t="n">
        <v>93.7094</v>
      </c>
      <c r="C149" t="n">
        <v>0.006991278632434428</v>
      </c>
    </row>
    <row r="150">
      <c r="A150" t="inlineStr">
        <is>
          <t>2025-08-19</t>
        </is>
      </c>
      <c r="B150" t="n">
        <v>94.08839999999999</v>
      </c>
      <c r="C150" t="n">
        <v>0.004044418169361741</v>
      </c>
    </row>
    <row r="151">
      <c r="A151" t="inlineStr">
        <is>
          <t>2025-08-20</t>
        </is>
      </c>
      <c r="B151" t="n">
        <v>93.5604</v>
      </c>
      <c r="C151" t="n">
        <v>-0.005611743849401107</v>
      </c>
    </row>
    <row r="152">
      <c r="A152" t="inlineStr">
        <is>
          <t>2025-08-21</t>
        </is>
      </c>
      <c r="B152" t="n">
        <v>93.4791</v>
      </c>
      <c r="C152" t="n">
        <v>-0.0008689573794040673</v>
      </c>
    </row>
    <row r="153">
      <c r="A153" t="inlineStr">
        <is>
          <t>2025-08-22</t>
        </is>
      </c>
      <c r="B153" t="n">
        <v>93.50490000000001</v>
      </c>
      <c r="C153" t="n">
        <v>0.0002759975224408961</v>
      </c>
    </row>
    <row r="154">
      <c r="A154" t="inlineStr">
        <is>
          <t>2025-08-23</t>
        </is>
      </c>
      <c r="B154" t="n">
        <v>93.62739999999999</v>
      </c>
      <c r="C154" t="n">
        <v>0.001310091770591493</v>
      </c>
    </row>
    <row r="155">
      <c r="A155" t="inlineStr">
        <is>
          <t>2025-08-26</t>
        </is>
      </c>
      <c r="B155" t="n">
        <v>94.4622</v>
      </c>
      <c r="C155" t="n">
        <v>0.008916193336566014</v>
      </c>
    </row>
    <row r="156">
      <c r="A156" t="inlineStr">
        <is>
          <t>2025-08-27</t>
        </is>
      </c>
      <c r="B156" t="n">
        <v>93.36839999999999</v>
      </c>
      <c r="C156" t="n">
        <v>-0.01157923486855061</v>
      </c>
    </row>
    <row r="157">
      <c r="A157" t="inlineStr">
        <is>
          <t>2025-08-28</t>
        </is>
      </c>
      <c r="B157" t="n">
        <v>93.3428</v>
      </c>
      <c r="C157" t="n">
        <v>-0.0002741826999284047</v>
      </c>
    </row>
    <row r="158">
      <c r="A158" t="inlineStr">
        <is>
          <t>2025-08-29</t>
        </is>
      </c>
      <c r="B158" t="n">
        <v>93.48909999999999</v>
      </c>
      <c r="C158" t="n">
        <v>0.001567341026838642</v>
      </c>
    </row>
    <row r="159">
      <c r="A159" t="inlineStr">
        <is>
          <t>2025-08-30</t>
        </is>
      </c>
      <c r="B159" t="n">
        <v>94.0479</v>
      </c>
      <c r="C159" t="n">
        <v>0.005977167391706617</v>
      </c>
    </row>
    <row r="160">
      <c r="A160" t="inlineStr">
        <is>
          <t>2025-09-02</t>
        </is>
      </c>
      <c r="B160" t="n">
        <v>94.3841</v>
      </c>
      <c r="C160" t="n">
        <v>0.003574774131054559</v>
      </c>
    </row>
    <row r="161">
      <c r="A161" t="inlineStr">
        <is>
          <t>2025-09-03</t>
        </is>
      </c>
      <c r="B161" t="n">
        <v>93.8373</v>
      </c>
      <c r="C161" t="n">
        <v>-0.005793348667837095</v>
      </c>
    </row>
    <row r="162">
      <c r="A162" t="inlineStr">
        <is>
          <t>2025-09-04</t>
        </is>
      </c>
      <c r="B162" t="n">
        <v>94.2539</v>
      </c>
      <c r="C162" t="n">
        <v>0.004439599178578169</v>
      </c>
    </row>
    <row r="163">
      <c r="A163" t="inlineStr">
        <is>
          <t>2025-09-05</t>
        </is>
      </c>
      <c r="B163" t="n">
        <v>94.7754</v>
      </c>
      <c r="C163" t="n">
        <v>0.005532927549947608</v>
      </c>
    </row>
    <row r="164">
      <c r="A164" t="inlineStr">
        <is>
          <t>2025-09-06</t>
        </is>
      </c>
      <c r="B164" t="n">
        <v>95.47920000000001</v>
      </c>
      <c r="C164" t="n">
        <v>0.007425977627105729</v>
      </c>
    </row>
    <row r="165">
      <c r="A165" t="inlineStr">
        <is>
          <t>2025-09-09</t>
        </is>
      </c>
      <c r="B165" t="n">
        <v>96.56910000000001</v>
      </c>
      <c r="C165" t="n">
        <v>0.0114150516552296</v>
      </c>
    </row>
    <row r="166">
      <c r="A166" t="inlineStr">
        <is>
          <t>2025-09-10</t>
        </is>
      </c>
      <c r="B166" t="n">
        <v>98.03360000000001</v>
      </c>
      <c r="C166" t="n">
        <v>0.01516530650073378</v>
      </c>
    </row>
    <row r="167">
      <c r="A167" t="inlineStr">
        <is>
          <t>2025-09-11</t>
        </is>
      </c>
      <c r="B167" t="n">
        <v>99.8246</v>
      </c>
      <c r="C167" t="n">
        <v>0.01826924646243744</v>
      </c>
    </row>
    <row r="168">
      <c r="A168" t="inlineStr">
        <is>
          <t>2025-09-12</t>
        </is>
      </c>
      <c r="B168" t="n">
        <v>99.7367</v>
      </c>
      <c r="C168" t="n">
        <v>-0.0008805444750091818</v>
      </c>
    </row>
    <row r="169">
      <c r="A169" t="inlineStr">
        <is>
          <t>2025-09-13</t>
        </is>
      </c>
      <c r="B169" t="n">
        <v>99.3304</v>
      </c>
      <c r="C169" t="n">
        <v>-0.004073726120876309</v>
      </c>
    </row>
    <row r="170">
      <c r="A170" t="inlineStr">
        <is>
          <t>2025-09-16</t>
        </is>
      </c>
      <c r="B170" t="n">
        <v>97.4502</v>
      </c>
      <c r="C170" t="n">
        <v>-0.0189287468891699</v>
      </c>
    </row>
    <row r="171">
      <c r="A171" t="inlineStr">
        <is>
          <t>2025-09-17</t>
        </is>
      </c>
      <c r="B171" t="n">
        <v>97.8903</v>
      </c>
      <c r="C171" t="n">
        <v>0.004516152865771561</v>
      </c>
    </row>
    <row r="172">
      <c r="A172" t="inlineStr">
        <is>
          <t>2025-09-18</t>
        </is>
      </c>
      <c r="B172" t="n">
        <v>98.29940000000001</v>
      </c>
      <c r="C172" t="n">
        <v>0.004179167905298264</v>
      </c>
    </row>
    <row r="173">
      <c r="A173" t="inlineStr">
        <is>
          <t>2025-09-19</t>
        </is>
      </c>
      <c r="B173" t="n">
        <v>98.9773</v>
      </c>
      <c r="C173" t="n">
        <v>0.00689627810546134</v>
      </c>
    </row>
    <row r="174">
      <c r="A174" t="inlineStr">
        <is>
          <t>2025-09-20</t>
        </is>
      </c>
      <c r="B174" t="n">
        <v>98.8845</v>
      </c>
      <c r="C174" t="n">
        <v>-0.0009375887198377342</v>
      </c>
    </row>
    <row r="175">
      <c r="A175" t="inlineStr">
        <is>
          <t>2025-09-23</t>
        </is>
      </c>
      <c r="B175" t="n">
        <v>98.96380000000001</v>
      </c>
      <c r="C175" t="n">
        <v>0.0008019457043317857</v>
      </c>
    </row>
    <row r="176">
      <c r="A176" t="inlineStr">
        <is>
          <t>2025-09-24</t>
        </is>
      </c>
      <c r="B176" t="n">
        <v>99.0363</v>
      </c>
      <c r="C176" t="n">
        <v>0.0007325911090720894</v>
      </c>
    </row>
    <row r="177">
      <c r="A177" t="inlineStr">
        <is>
          <t>2025-09-25</t>
        </is>
      </c>
      <c r="B177" t="n">
        <v>98.6015</v>
      </c>
      <c r="C177" t="n">
        <v>-0.004390309411801518</v>
      </c>
    </row>
    <row r="178">
      <c r="A178" t="inlineStr">
        <is>
          <t>2025-09-26</t>
        </is>
      </c>
      <c r="B178" t="n">
        <v>98.1542</v>
      </c>
      <c r="C178" t="n">
        <v>-0.004536442143375119</v>
      </c>
    </row>
    <row r="179">
      <c r="A179" t="inlineStr">
        <is>
          <t>2025-09-27</t>
        </is>
      </c>
      <c r="B179" t="n">
        <v>97.6823</v>
      </c>
      <c r="C179" t="n">
        <v>-0.004807741288706979</v>
      </c>
    </row>
    <row r="180">
      <c r="A180" t="inlineStr">
        <is>
          <t>2025-09-30</t>
        </is>
      </c>
      <c r="B180" t="n">
        <v>97.14100000000001</v>
      </c>
      <c r="C180" t="n">
        <v>-0.005541433811447893</v>
      </c>
    </row>
    <row r="181">
      <c r="A181" t="inlineStr">
        <is>
          <t>2025-10-01</t>
        </is>
      </c>
      <c r="B181" t="n">
        <v>96.8644</v>
      </c>
      <c r="C181" t="n">
        <v>-0.002847407376905808</v>
      </c>
    </row>
    <row r="182">
      <c r="A182" t="inlineStr">
        <is>
          <t>2025-10-02</t>
        </is>
      </c>
      <c r="B182" t="n">
        <v>95.6382</v>
      </c>
      <c r="C182" t="n">
        <v>-0.01265893351943548</v>
      </c>
    </row>
    <row r="183">
      <c r="A183" t="inlineStr">
        <is>
          <t>2025-10-03</t>
        </is>
      </c>
      <c r="B183" t="n">
        <v>95.3411</v>
      </c>
      <c r="C183" t="n">
        <v>-0.003106499285850273</v>
      </c>
    </row>
    <row r="184">
      <c r="A184" t="inlineStr">
        <is>
          <t>2025-10-04</t>
        </is>
      </c>
      <c r="B184" t="n">
        <v>96.05249999999999</v>
      </c>
      <c r="C184" t="n">
        <v>0.007461629874209619</v>
      </c>
    </row>
    <row r="185">
      <c r="A185" t="inlineStr">
        <is>
          <t>2025-10-07</t>
        </is>
      </c>
      <c r="B185" t="n">
        <v>96.83450000000001</v>
      </c>
      <c r="C185" t="n">
        <v>0.008141381015590587</v>
      </c>
    </row>
    <row r="186">
      <c r="A186" t="inlineStr">
        <is>
          <t>2025-10-08</t>
        </is>
      </c>
      <c r="B186" t="n">
        <v>95.6722</v>
      </c>
      <c r="C186" t="n">
        <v>-0.0120029534928151</v>
      </c>
    </row>
    <row r="187">
      <c r="A187" t="inlineStr">
        <is>
          <t>2025-10-09</t>
        </is>
      </c>
      <c r="B187" t="n">
        <v>94.93510000000001</v>
      </c>
      <c r="C187" t="n">
        <v>-0.007704432426556496</v>
      </c>
    </row>
    <row r="188">
      <c r="A188" t="inlineStr">
        <is>
          <t>2025-10-10</t>
        </is>
      </c>
      <c r="B188" t="n">
        <v>94.703</v>
      </c>
      <c r="C188" t="n">
        <v>-0.002444828098353558</v>
      </c>
    </row>
    <row r="189">
      <c r="A189" t="inlineStr">
        <is>
          <t>2025-10-11</t>
        </is>
      </c>
      <c r="B189" t="n">
        <v>94.0491</v>
      </c>
      <c r="C189" t="n">
        <v>-0.006904744305882726</v>
      </c>
    </row>
    <row r="190">
      <c r="A190" t="inlineStr">
        <is>
          <t>2025-10-14</t>
        </is>
      </c>
      <c r="B190" t="n">
        <v>93.9181</v>
      </c>
      <c r="C190" t="n">
        <v>-0.001392889458804003</v>
      </c>
    </row>
    <row r="191">
      <c r="A191" t="inlineStr">
        <is>
          <t>2025-10-15</t>
        </is>
      </c>
      <c r="B191" t="n">
        <v>92.6816</v>
      </c>
      <c r="C191" t="n">
        <v>-0.01316572630834734</v>
      </c>
    </row>
    <row r="192">
      <c r="A192" t="inlineStr">
        <is>
          <t>2025-10-16</t>
        </is>
      </c>
      <c r="B192" t="n">
        <v>91.72580000000001</v>
      </c>
      <c r="C192" t="n">
        <v>-0.01031272658219107</v>
      </c>
    </row>
    <row r="193">
      <c r="A193" t="inlineStr">
        <is>
          <t>2025-10-17</t>
        </is>
      </c>
      <c r="B193" t="n">
        <v>92.0834</v>
      </c>
      <c r="C193" t="n">
        <v>0.003898575973172225</v>
      </c>
    </row>
    <row r="194">
      <c r="A194" t="inlineStr">
        <is>
          <t>2025-10-18</t>
        </is>
      </c>
      <c r="B194" t="n">
        <v>94.5835</v>
      </c>
      <c r="C194" t="n">
        <v>0.0271503875834298</v>
      </c>
    </row>
    <row r="195">
      <c r="A195" t="inlineStr">
        <is>
          <t>2025-10-21</t>
        </is>
      </c>
      <c r="B195" t="n">
        <v>94.3845</v>
      </c>
      <c r="C195" t="n">
        <v>-0.002103961050288872</v>
      </c>
    </row>
    <row r="196">
      <c r="A196" t="inlineStr">
        <is>
          <t>2025-10-22</t>
        </is>
      </c>
      <c r="B196" t="n">
        <v>94.6656</v>
      </c>
      <c r="C196" t="n">
        <v>0.002978243249686097</v>
      </c>
    </row>
    <row r="197">
      <c r="A197" t="inlineStr">
        <is>
          <t>2025-10-23</t>
        </is>
      </c>
      <c r="B197" t="n">
        <v>94.7543</v>
      </c>
      <c r="C197" t="n">
        <v>0.0009369823885339024</v>
      </c>
    </row>
    <row r="198">
      <c r="A198" t="inlineStr">
        <is>
          <t>2025-10-24</t>
        </is>
      </c>
      <c r="B198" t="n">
        <v>94.38890000000001</v>
      </c>
      <c r="C198" t="n">
        <v>-0.003856289371564126</v>
      </c>
    </row>
    <row r="199">
      <c r="A199" t="inlineStr">
        <is>
          <t>2025-10-25</t>
        </is>
      </c>
      <c r="B199" t="n">
        <v>94.08199999999999</v>
      </c>
      <c r="C199" t="n">
        <v>-0.003251441641972885</v>
      </c>
    </row>
    <row r="200">
      <c r="A200" t="inlineStr">
        <is>
          <t>2025-10-28</t>
        </is>
      </c>
      <c r="B200" t="n">
        <v>92.02330000000001</v>
      </c>
      <c r="C200" t="n">
        <v>-0.02188197529814406</v>
      </c>
    </row>
    <row r="201">
      <c r="A201" t="inlineStr">
        <is>
          <t>2025-10-29</t>
        </is>
      </c>
      <c r="B201" t="n">
        <v>92.9395</v>
      </c>
      <c r="C201" t="n">
        <v>0.00995617414285288</v>
      </c>
    </row>
    <row r="202">
      <c r="A202" t="inlineStr">
        <is>
          <t>2025-10-30</t>
        </is>
      </c>
      <c r="B202" t="n">
        <v>92.2466</v>
      </c>
      <c r="C202" t="n">
        <v>-0.00745538764465048</v>
      </c>
    </row>
    <row r="203">
      <c r="A203" t="inlineStr">
        <is>
          <t>2025-10-31</t>
        </is>
      </c>
      <c r="B203" t="n">
        <v>93.38939999999999</v>
      </c>
      <c r="C203" t="n">
        <v>0.01238853247707761</v>
      </c>
    </row>
    <row r="204">
      <c r="A204" t="inlineStr">
        <is>
          <t>2025-11-01</t>
        </is>
      </c>
      <c r="B204" t="n">
        <v>93.38930000000001</v>
      </c>
      <c r="C204" t="n">
        <v>-1.070785335288704e-06</v>
      </c>
    </row>
    <row r="205">
      <c r="A205" t="inlineStr">
        <is>
          <t>2025-11-02</t>
        </is>
      </c>
      <c r="B205" t="n">
        <v>93.3848</v>
      </c>
      <c r="C205" t="n">
        <v>-4.818539168838232e-05</v>
      </c>
    </row>
    <row r="206">
      <c r="A206" t="inlineStr">
        <is>
          <t>2025-11-06</t>
        </is>
      </c>
      <c r="B206" t="n">
        <v>93.51309999999999</v>
      </c>
      <c r="C206" t="n">
        <v>0.001373885257557994</v>
      </c>
    </row>
    <row r="207">
      <c r="A207" t="inlineStr">
        <is>
          <t>2025-11-07</t>
        </is>
      </c>
      <c r="B207" t="n">
        <v>93.7641</v>
      </c>
      <c r="C207" t="n">
        <v>0.00268411591531037</v>
      </c>
    </row>
    <row r="208">
      <c r="A208" t="inlineStr">
        <is>
          <t>2025-11-08</t>
        </is>
      </c>
      <c r="B208" t="n">
        <v>93.8365</v>
      </c>
      <c r="C208" t="n">
        <v>0.0007721505352262792</v>
      </c>
    </row>
    <row r="209">
      <c r="A209" t="inlineStr">
        <is>
          <t>2025-11-11</t>
        </is>
      </c>
      <c r="B209" t="n">
        <v>93.92870000000001</v>
      </c>
      <c r="C209" t="n">
        <v>0.0009825600912225507</v>
      </c>
    </row>
    <row r="210">
      <c r="A210" t="inlineStr">
        <is>
          <t>2025-11-12</t>
        </is>
      </c>
      <c r="B210" t="n">
        <v>94.19540000000001</v>
      </c>
      <c r="C210" t="n">
        <v>0.002839387748366562</v>
      </c>
    </row>
    <row r="211">
      <c r="A211" t="inlineStr">
        <is>
          <t>2025-11-13</t>
        </is>
      </c>
      <c r="B211" t="n">
        <v>94.1893</v>
      </c>
      <c r="C211" t="n">
        <v>-6.475900097036025e-05</v>
      </c>
    </row>
    <row r="212">
      <c r="A212" t="inlineStr">
        <is>
          <t>2025-11-14</t>
        </is>
      </c>
      <c r="B212" t="n">
        <v>93.6953</v>
      </c>
      <c r="C212" t="n">
        <v>-0.005244757100859698</v>
      </c>
    </row>
    <row r="213">
      <c r="A213" t="inlineStr">
        <is>
          <t>2025-11-15</t>
        </is>
      </c>
      <c r="B213" t="n">
        <v>95.09869999999999</v>
      </c>
      <c r="C213" t="n">
        <v>0.01497833936173953</v>
      </c>
    </row>
    <row r="214">
      <c r="A214" t="inlineStr">
        <is>
          <t>2025-11-18</t>
        </is>
      </c>
      <c r="B214" t="n">
        <v>94.4179</v>
      </c>
      <c r="C214" t="n">
        <v>-0.007158878091919174</v>
      </c>
    </row>
    <row r="215">
      <c r="A215" t="inlineStr">
        <is>
          <t>2025-11-19</t>
        </is>
      </c>
      <c r="B215" t="n">
        <v>93.9295</v>
      </c>
      <c r="C215" t="n">
        <v>-0.005172747964104274</v>
      </c>
    </row>
    <row r="216">
      <c r="A216" t="inlineStr">
        <is>
          <t>2025-11-20</t>
        </is>
      </c>
      <c r="B216" t="n">
        <v>93.7804</v>
      </c>
      <c r="C216" t="n">
        <v>-0.001587360733316001</v>
      </c>
    </row>
    <row r="217">
      <c r="A217" t="inlineStr">
        <is>
          <t>2025-11-21</t>
        </is>
      </c>
      <c r="B217" t="n">
        <v>92.60469999999999</v>
      </c>
      <c r="C217" t="n">
        <v>-0.01253673475481021</v>
      </c>
    </row>
    <row r="218">
      <c r="A218" t="inlineStr">
        <is>
          <t>2025-11-22</t>
        </is>
      </c>
      <c r="B218" t="n">
        <v>90.5625</v>
      </c>
      <c r="C218" t="n">
        <v>-0.02205287636588638</v>
      </c>
    </row>
    <row r="219">
      <c r="A219" t="inlineStr">
        <is>
          <t>2025-11-25</t>
        </is>
      </c>
      <c r="B219" t="n">
        <v>91.3672</v>
      </c>
      <c r="C219" t="n">
        <v>0.00888557625948927</v>
      </c>
    </row>
    <row r="220">
      <c r="A220" t="inlineStr">
        <is>
          <t>2025-11-26</t>
        </is>
      </c>
      <c r="B220" t="n">
        <v>90.96980000000001</v>
      </c>
      <c r="C220" t="n">
        <v>-0.004349482089852752</v>
      </c>
    </row>
    <row r="221">
      <c r="A221" t="inlineStr">
        <is>
          <t>2025-11-27</t>
        </is>
      </c>
      <c r="B221" t="n">
        <v>91.5047</v>
      </c>
      <c r="C221" t="n">
        <v>0.005879973353794199</v>
      </c>
    </row>
    <row r="222">
      <c r="A222" t="inlineStr">
        <is>
          <t>2025-11-28</t>
        </is>
      </c>
      <c r="B222" t="n">
        <v>90.788</v>
      </c>
      <c r="C222" t="n">
        <v>-0.007832384566038741</v>
      </c>
    </row>
    <row r="223">
      <c r="A223" t="inlineStr">
        <is>
          <t>2025-11-29</t>
        </is>
      </c>
      <c r="B223" t="n">
        <v>90.819</v>
      </c>
      <c r="C223" t="n">
        <v>0.0003414548178173327</v>
      </c>
    </row>
    <row r="224">
      <c r="A224" t="inlineStr">
        <is>
          <t>2025-12-02</t>
        </is>
      </c>
      <c r="B224" t="n">
        <v>90.3438</v>
      </c>
      <c r="C224" t="n">
        <v>-0.005232385293826192</v>
      </c>
    </row>
    <row r="225">
      <c r="A225" t="inlineStr">
        <is>
          <t>2025-12-03</t>
        </is>
      </c>
      <c r="B225" t="n">
        <v>89.8514</v>
      </c>
      <c r="C225" t="n">
        <v>-0.005450290999493124</v>
      </c>
    </row>
    <row r="226">
      <c r="A226" t="inlineStr">
        <is>
          <t>2025-12-04</t>
        </is>
      </c>
      <c r="B226" t="n">
        <v>90.5903</v>
      </c>
      <c r="C226" t="n">
        <v>0.008223578041076651</v>
      </c>
    </row>
    <row r="227">
      <c r="A227" t="inlineStr">
        <is>
          <t>2025-12-05</t>
        </is>
      </c>
      <c r="B227" t="n">
        <v>89.9011</v>
      </c>
      <c r="C227" t="n">
        <v>-0.007607878547703173</v>
      </c>
    </row>
    <row r="228">
      <c r="A228" t="inlineStr">
        <is>
          <t>2025-12-06</t>
        </is>
      </c>
      <c r="B228" t="n">
        <v>88.7028</v>
      </c>
      <c r="C228" t="n">
        <v>-0.01332909163514129</v>
      </c>
    </row>
    <row r="229">
      <c r="A229" t="inlineStr">
        <is>
          <t>2025-12-09</t>
        </is>
      </c>
      <c r="B229" t="n">
        <v>89.7054</v>
      </c>
      <c r="C229" t="n">
        <v>0.01130291264762784</v>
      </c>
    </row>
    <row r="230">
      <c r="A230" t="inlineStr">
        <is>
          <t>2025-12-10</t>
        </is>
      </c>
      <c r="B230" t="n">
        <v>89.4267</v>
      </c>
      <c r="C230" t="n">
        <v>-0.003106836377743116</v>
      </c>
    </row>
    <row r="231">
      <c r="A231" t="inlineStr">
        <is>
          <t>2025-12-11</t>
        </is>
      </c>
      <c r="B231" t="n">
        <v>91.3806</v>
      </c>
      <c r="C231" t="n">
        <v>0.02184917927196239</v>
      </c>
    </row>
    <row r="232">
      <c r="A232" t="inlineStr">
        <is>
          <t>2025-12-12</t>
        </is>
      </c>
      <c r="B232" t="n">
        <v>92.9384</v>
      </c>
      <c r="C232" t="n">
        <v>0.01704738204826839</v>
      </c>
    </row>
    <row r="233">
      <c r="A233" t="inlineStr">
        <is>
          <t>2025-12-13</t>
        </is>
      </c>
      <c r="B233" t="n">
        <v>93.5626</v>
      </c>
      <c r="C233" t="n">
        <v>0.006716276587503067</v>
      </c>
    </row>
    <row r="234">
      <c r="A234" t="inlineStr">
        <is>
          <t>2025-12-16</t>
        </is>
      </c>
      <c r="B234" t="n">
        <v>93.2274</v>
      </c>
      <c r="C234" t="n">
        <v>-0.003582628101399532</v>
      </c>
    </row>
    <row r="235">
      <c r="A235" t="inlineStr">
        <is>
          <t>2025-12-17</t>
        </is>
      </c>
      <c r="B235" t="n">
        <v>93.80540000000001</v>
      </c>
      <c r="C235" t="n">
        <v>0.006199894022572705</v>
      </c>
    </row>
    <row r="236">
      <c r="A236" t="inlineStr">
        <is>
          <t>2025-12-18</t>
        </is>
      </c>
      <c r="B236" t="n">
        <v>94.1478</v>
      </c>
      <c r="C236" t="n">
        <v>0.003650109695177539</v>
      </c>
    </row>
    <row r="237">
      <c r="A237" t="inlineStr">
        <is>
          <t>2025-12-19</t>
        </is>
      </c>
      <c r="B237" t="n">
        <v>94.25239999999999</v>
      </c>
      <c r="C237" t="n">
        <v>0.001111019057269402</v>
      </c>
    </row>
    <row r="238">
      <c r="A238" t="inlineStr">
        <is>
          <t>2025-12-20</t>
        </is>
      </c>
      <c r="B238" t="n">
        <v>94.512</v>
      </c>
      <c r="C238" t="n">
        <v>0.002754306521637773</v>
      </c>
    </row>
    <row r="239">
      <c r="A239" t="inlineStr">
        <is>
          <t>2025-12-23</t>
        </is>
      </c>
      <c r="B239" t="n">
        <v>92.8621</v>
      </c>
      <c r="C239" t="n">
        <v>-0.01745704249195867</v>
      </c>
    </row>
    <row r="240">
      <c r="A240" t="inlineStr">
        <is>
          <t>2025-12-24</t>
        </is>
      </c>
      <c r="B240" t="n">
        <v>92.8137</v>
      </c>
      <c r="C240" t="n">
        <v>-0.0005212029450120115</v>
      </c>
    </row>
    <row r="241">
      <c r="A241" t="inlineStr">
        <is>
          <t>2025-12-25</t>
        </is>
      </c>
      <c r="B241" t="n">
        <v>92.4742</v>
      </c>
      <c r="C241" t="n">
        <v>-0.003657865164302221</v>
      </c>
    </row>
    <row r="242">
      <c r="A242" t="inlineStr">
        <is>
          <t>2025-12-26</t>
        </is>
      </c>
      <c r="B242" t="n">
        <v>91.89019999999999</v>
      </c>
      <c r="C242" t="n">
        <v>-0.006315274963178963</v>
      </c>
    </row>
    <row r="243">
      <c r="A243" t="inlineStr">
        <is>
          <t>2025-12-27</t>
        </is>
      </c>
      <c r="B243" t="n">
        <v>91.20659999999999</v>
      </c>
      <c r="C243" t="n">
        <v>-0.007439313441476858</v>
      </c>
    </row>
    <row r="244">
      <c r="A244" t="inlineStr">
        <is>
          <t>2025-12-30</t>
        </is>
      </c>
      <c r="B244" t="n">
        <v>91.47750000000001</v>
      </c>
      <c r="C244" t="n">
        <v>0.002970179789620664</v>
      </c>
    </row>
    <row r="245">
      <c r="A245" t="inlineStr">
        <is>
          <t>2025-12-31</t>
        </is>
      </c>
      <c r="B245" t="n">
        <v>92.0938</v>
      </c>
      <c r="C245" t="n">
        <v>0.006737175808258833</v>
      </c>
    </row>
    <row r="246">
      <c r="A246" t="inlineStr">
        <is>
          <t>2026-01-13</t>
        </is>
      </c>
      <c r="B246" t="n">
        <v>91.96680000000001</v>
      </c>
      <c r="C246" t="n">
        <v>-0.001379028772838131</v>
      </c>
    </row>
    <row r="247">
      <c r="A247" t="inlineStr">
        <is>
          <t>2026-01-14</t>
        </is>
      </c>
      <c r="B247" t="n">
        <v>92.3973</v>
      </c>
      <c r="C247" t="n">
        <v>0.004681037069899086</v>
      </c>
    </row>
    <row r="248">
      <c r="A248" t="inlineStr">
        <is>
          <t>2026-01-15</t>
        </is>
      </c>
      <c r="B248" t="n">
        <v>92.1964</v>
      </c>
      <c r="C248" t="n">
        <v>-0.002174305959156908</v>
      </c>
    </row>
    <row r="249">
      <c r="A249" t="inlineStr">
        <is>
          <t>2026-01-16</t>
        </is>
      </c>
      <c r="B249" t="n">
        <v>91.81229999999999</v>
      </c>
      <c r="C249" t="n">
        <v>-0.004166106268791436</v>
      </c>
    </row>
    <row r="250">
      <c r="A250" t="inlineStr">
        <is>
          <t>2026-01-17</t>
        </is>
      </c>
      <c r="B250" t="n">
        <v>90.53660000000001</v>
      </c>
      <c r="C250" t="n">
        <v>-0.01389465245941979</v>
      </c>
    </row>
    <row r="251">
      <c r="A251" t="inlineStr">
        <is>
          <t>2026-01-20</t>
        </is>
      </c>
      <c r="B251" t="n">
        <v>90.1611</v>
      </c>
      <c r="C251" t="n">
        <v>-0.004147493941676683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8" customWidth="1" min="3" max="3"/>
  </cols>
  <sheetData>
    <row r="1">
      <c r="A1" s="2" t="inlineStr">
        <is>
          <t>Метрика</t>
        </is>
      </c>
      <c r="B1" s="2" t="inlineStr">
        <is>
          <t>Формула Excel</t>
        </is>
      </c>
      <c r="C1" s="2" t="inlineStr">
        <is>
          <t>Значение Excel</t>
        </is>
      </c>
    </row>
    <row r="2">
      <c r="A2" t="inlineStr">
        <is>
          <t>Среднее μ</t>
        </is>
      </c>
      <c r="B2">
        <f>AVERAGE('Данные'!C2:C251)</f>
        <v/>
      </c>
      <c r="C2">
        <f>AVERAGE('Данные'!C2:C251)</f>
        <v/>
      </c>
    </row>
    <row r="3">
      <c r="A3" t="inlineStr">
        <is>
          <t>СКО σ (выборочное)</t>
        </is>
      </c>
      <c r="B3">
        <f>STDEV('Данные'!C2:C251)</f>
        <v/>
      </c>
      <c r="C3">
        <f>STDEV('Данные'!C2:C251)</f>
        <v/>
      </c>
    </row>
    <row r="4">
      <c r="A4" t="inlineStr">
        <is>
          <t>Кол-во наблюдений N</t>
        </is>
      </c>
      <c r="B4">
        <f>COUNT('Данные'!C2:C251)</f>
        <v/>
      </c>
      <c r="C4">
        <f>COUNT('Данные'!C2:C251)</f>
        <v/>
      </c>
    </row>
    <row r="5">
      <c r="A5" t="inlineStr"/>
      <c r="B5" t="inlineStr"/>
    </row>
    <row r="6">
      <c r="A6" t="inlineStr">
        <is>
          <t>VaR исторический 95%</t>
        </is>
      </c>
      <c r="B6">
        <f>ABS(PERCENTILE('Данные'!C2:C251,0.05))</f>
        <v/>
      </c>
      <c r="C6">
        <f>ABS(PERCENTILE('Данные'!C2:C251,0.05))</f>
        <v/>
      </c>
    </row>
    <row r="7">
      <c r="A7" t="inlineStr">
        <is>
          <t>VaR исторический 99%</t>
        </is>
      </c>
      <c r="B7">
        <f>ABS(PERCENTILE('Данные'!C2:C251,0.01))</f>
        <v/>
      </c>
      <c r="C7">
        <f>ABS(PERCENTILE('Данные'!C2:C251,0.01))</f>
        <v/>
      </c>
    </row>
    <row r="8">
      <c r="A8" t="inlineStr">
        <is>
          <t>ES исторический 95%</t>
        </is>
      </c>
      <c r="B8">
        <f>ABS(AVERAGEIF('Данные'!C2:C251,"&lt;="&amp;PERCENTILE('Данные'!C2:C251,0.05)))</f>
        <v/>
      </c>
      <c r="C8">
        <f>ABS(AVERAGEIF('Данные'!C2:C251,"&lt;="&amp;PERCENTILE('Данные'!C2:C251,0.05)))</f>
        <v/>
      </c>
    </row>
    <row r="9">
      <c r="A9" t="inlineStr">
        <is>
          <t>ES исторический 99%</t>
        </is>
      </c>
      <c r="B9">
        <f>ABS(AVERAGEIF('Данные'!C2:C251,"&lt;="&amp;PERCENTILE('Данные'!C2:C251,0.01)))</f>
        <v/>
      </c>
      <c r="C9">
        <f>ABS(AVERAGEIF('Данные'!C2:C251,"&lt;="&amp;PERCENTILE('Данные'!C2:C251,0.01)))</f>
        <v/>
      </c>
    </row>
    <row r="10">
      <c r="A10" t="inlineStr"/>
      <c r="B10" t="inlineStr"/>
    </row>
    <row r="11">
      <c r="A11" t="inlineStr">
        <is>
          <t>VaR параметрический 99%</t>
        </is>
      </c>
      <c r="B11">
        <f>ABS(-C2 + C3*NORMSINV(0.99))</f>
        <v/>
      </c>
      <c r="C11">
        <f>ABS(-C2 + C3*NORMSINV(0.99))</f>
        <v/>
      </c>
    </row>
    <row r="12">
      <c r="A12" t="inlineStr">
        <is>
          <t>VaR параметрический 97,5%</t>
        </is>
      </c>
      <c r="B12">
        <f>ABS(-C2 + C3*NORMSINV(0.975))</f>
        <v/>
      </c>
      <c r="C12">
        <f>ABS(-C2 + C3*NORMSINV(0.975))</f>
        <v/>
      </c>
    </row>
    <row r="13">
      <c r="A13" t="inlineStr">
        <is>
          <t>ES параметрический 99%</t>
        </is>
      </c>
      <c r="B13">
        <f>ABS(-C2 + C3*NORMDIST(NORMSINV(0.01),0,1,FALSE)/0.01)</f>
        <v/>
      </c>
      <c r="C13">
        <f>ABS(-C2 + C3*NORMDIST(NORMSINV(0.01),0,1,FALSE)/0.01)</f>
        <v/>
      </c>
    </row>
    <row r="14">
      <c r="A14" t="inlineStr">
        <is>
          <t>ES параметрический 97,5%</t>
        </is>
      </c>
      <c r="B14">
        <f>ABS(-C2 + C3*NORMDIST(NORMSINV(0.025),0,1,FALSE)/0.025)</f>
        <v/>
      </c>
      <c r="C14">
        <f>ABS(-C2 + C3*NORMDIST(NORMSINV(0.025),0,1,FALSE)/0.025)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0" customWidth="1" min="4" max="4"/>
    <col width="20" customWidth="1" min="5" max="5"/>
    <col width="16" customWidth="1" min="6" max="6"/>
    <col width="22" customWidth="1" min="7" max="7"/>
  </cols>
  <sheetData>
    <row r="1" ht="30" customHeight="1">
      <c r="A1" s="3" t="inlineStr">
        <is>
          <t>№</t>
        </is>
      </c>
      <c r="B1" s="3" t="inlineStr">
        <is>
          <t>Метрика</t>
        </is>
      </c>
      <c r="C1" s="3" t="inlineStr">
        <is>
          <t>Уровень доверия</t>
        </is>
      </c>
      <c r="D1" s="3" t="inlineStr">
        <is>
          <t>Программа (Python)</t>
        </is>
      </c>
      <c r="E1" s="3" t="inlineStr">
        <is>
          <t>Excel (формула)</t>
        </is>
      </c>
      <c r="F1" s="3" t="inlineStr">
        <is>
          <t>Расхождение, %</t>
        </is>
      </c>
      <c r="G1" s="3" t="inlineStr">
        <is>
          <t>Вердикт (допуск 0,5%)</t>
        </is>
      </c>
    </row>
    <row r="2">
      <c r="A2" t="n">
        <v>1</v>
      </c>
      <c r="B2" t="inlineStr">
        <is>
          <t>VaR исторический</t>
        </is>
      </c>
      <c r="C2" t="inlineStr">
        <is>
          <t>95%</t>
        </is>
      </c>
      <c r="D2" s="4" t="n">
        <v>0.01702279500362915</v>
      </c>
      <c r="E2" s="4">
        <f>'Расчёт Excel'!C6</f>
        <v/>
      </c>
      <c r="F2" s="5">
        <f>ABS(D2-E2)/D2*100</f>
        <v/>
      </c>
      <c r="G2">
        <f>IF(F2&lt;=0.5,"Пройден","НЕ пройден")</f>
        <v/>
      </c>
    </row>
    <row r="3">
      <c r="A3" t="n">
        <v>2</v>
      </c>
      <c r="B3" t="inlineStr">
        <is>
          <t>VaR исторический</t>
        </is>
      </c>
      <c r="C3" t="inlineStr">
        <is>
          <t>99%</t>
        </is>
      </c>
      <c r="D3" s="4" t="n">
        <v>0.0305480262772076</v>
      </c>
      <c r="E3" s="4">
        <f>'Расчёт Excel'!C7</f>
        <v/>
      </c>
      <c r="F3" s="5">
        <f>ABS(D3-E3)/D3*100</f>
        <v/>
      </c>
      <c r="G3">
        <f>IF(F3&lt;=0.5,"Пройден","НЕ пройден")</f>
        <v/>
      </c>
    </row>
    <row r="4">
      <c r="A4" t="n">
        <v>3</v>
      </c>
      <c r="B4" t="inlineStr">
        <is>
          <t>ES исторический</t>
        </is>
      </c>
      <c r="C4" t="inlineStr">
        <is>
          <t>95%</t>
        </is>
      </c>
      <c r="D4" s="4" t="n">
        <v>0.02390197096794843</v>
      </c>
      <c r="E4" s="4">
        <f>'Расчёт Excel'!C8</f>
        <v/>
      </c>
      <c r="F4" s="5">
        <f>ABS(D4-E4)/D4*100</f>
        <v/>
      </c>
      <c r="G4">
        <f>IF(F4&lt;=0.5,"Пройден","НЕ пройден")</f>
        <v/>
      </c>
    </row>
    <row r="5">
      <c r="A5" t="n">
        <v>4</v>
      </c>
      <c r="B5" t="inlineStr">
        <is>
          <t>ES исторический</t>
        </is>
      </c>
      <c r="C5" t="inlineStr">
        <is>
          <t>99%</t>
        </is>
      </c>
      <c r="D5" s="4" t="n">
        <v>0.03332323778689013</v>
      </c>
      <c r="E5" s="4">
        <f>'Расчёт Excel'!C9</f>
        <v/>
      </c>
      <c r="F5" s="5">
        <f>ABS(D5-E5)/D5*100</f>
        <v/>
      </c>
      <c r="G5">
        <f>IF(F5&lt;=0.5,"Пройден","НЕ пройден")</f>
        <v/>
      </c>
    </row>
    <row r="6">
      <c r="A6" t="n">
        <v>5</v>
      </c>
      <c r="B6" t="inlineStr">
        <is>
          <t>VaR параметрический</t>
        </is>
      </c>
      <c r="C6" t="inlineStr">
        <is>
          <t>97,5%</t>
        </is>
      </c>
      <c r="D6" s="4" t="n">
        <v>0.02061370799883382</v>
      </c>
      <c r="E6" s="4">
        <f>'Расчёт Excel'!C12</f>
        <v/>
      </c>
      <c r="F6" s="5">
        <f>ABS(D6-E6)/D6*100</f>
        <v/>
      </c>
      <c r="G6">
        <f>IF(F6&lt;=0.5,"Пройден","НЕ пройден")</f>
        <v/>
      </c>
    </row>
    <row r="7">
      <c r="A7" t="n">
        <v>6</v>
      </c>
      <c r="B7" t="inlineStr">
        <is>
          <t>VaR параметрический</t>
        </is>
      </c>
      <c r="C7" t="inlineStr">
        <is>
          <t>99%</t>
        </is>
      </c>
      <c r="D7" s="4" t="n">
        <v>0.02436400899048033</v>
      </c>
      <c r="E7" s="4">
        <f>'Расчёт Excel'!C11</f>
        <v/>
      </c>
      <c r="F7" s="5">
        <f>ABS(D7-E7)/D7*100</f>
        <v/>
      </c>
      <c r="G7">
        <f>IF(F7&lt;=0.5,"Пройден","НЕ пройден")</f>
        <v/>
      </c>
    </row>
    <row r="8">
      <c r="A8" t="n">
        <v>7</v>
      </c>
      <c r="B8" t="inlineStr">
        <is>
          <t>ES параметрический</t>
        </is>
      </c>
      <c r="C8" t="inlineStr">
        <is>
          <t>97,5%</t>
        </is>
      </c>
      <c r="D8" s="4" t="n">
        <v>0.02448126139204022</v>
      </c>
      <c r="E8" s="4">
        <f>'Расчёт Excel'!C14</f>
        <v/>
      </c>
      <c r="F8" s="5">
        <f>ABS(D8-E8)/D8*100</f>
        <v/>
      </c>
      <c r="G8">
        <f>IF(F8&lt;=0.5,"Пройден","НЕ пройден")</f>
        <v/>
      </c>
    </row>
    <row r="9">
      <c r="A9" t="n">
        <v>8</v>
      </c>
      <c r="B9" t="inlineStr">
        <is>
          <t>ES параметрический</t>
        </is>
      </c>
      <c r="C9" t="inlineStr">
        <is>
          <t>99%</t>
        </is>
      </c>
      <c r="D9" s="4" t="n">
        <v>0.02783264074804676</v>
      </c>
      <c r="E9" s="4">
        <f>'Расчёт Excel'!C13</f>
        <v/>
      </c>
      <c r="F9" s="5">
        <f>ABS(D9-E9)/D9*100</f>
        <v/>
      </c>
      <c r="G9">
        <f>IF(F9&lt;=0.5,"Пройден","НЕ пройден")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2026-05-11T16:53:37Z</dcterms:created>
  <dcterms:modified xsi:type="dcterms:W3CDTF">2026-05-11T16:53:37Z</dcterms:modified>
</cp:coreProperties>
</file>